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 프로젝트 과제\2026-첨단소재\"/>
    </mc:Choice>
  </mc:AlternateContent>
  <xr:revisionPtr revIDLastSave="0" documentId="13_ncr:1_{AD19FC04-5AEC-4709-975A-ACCF63AB1F1C}" xr6:coauthVersionLast="36" xr6:coauthVersionMax="36" xr10:uidLastSave="{00000000-0000-0000-0000-000000000000}"/>
  <bookViews>
    <workbookView xWindow="0" yWindow="0" windowWidth="28800" windowHeight="12180" xr2:uid="{63534122-B968-4C5E-A1A4-E6FEB539903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D14" i="1" l="1"/>
  <c r="G11" i="1"/>
  <c r="F5" i="1"/>
  <c r="F8" i="1"/>
  <c r="F9" i="1"/>
  <c r="F10" i="1"/>
  <c r="F6" i="1"/>
  <c r="E11" i="1"/>
  <c r="D11" i="1"/>
  <c r="C11" i="1"/>
  <c r="F11" i="1" l="1"/>
</calcChain>
</file>

<file path=xl/sharedStrings.xml><?xml version="1.0" encoding="utf-8"?>
<sst xmlns="http://schemas.openxmlformats.org/spreadsheetml/2006/main" count="36" uniqueCount="35">
  <si>
    <t>전북대</t>
    <phoneticPr fontId="1" type="noConversion"/>
  </si>
  <si>
    <t>에버인더스</t>
    <phoneticPr fontId="1" type="noConversion"/>
  </si>
  <si>
    <t>대성기계공업</t>
    <phoneticPr fontId="1" type="noConversion"/>
  </si>
  <si>
    <t>년차</t>
    <phoneticPr fontId="1" type="noConversion"/>
  </si>
  <si>
    <t>예산(국비)</t>
    <phoneticPr fontId="1" type="noConversion"/>
  </si>
  <si>
    <t>소계</t>
    <phoneticPr fontId="1" type="noConversion"/>
  </si>
  <si>
    <t>합계</t>
    <phoneticPr fontId="1" type="noConversion"/>
  </si>
  <si>
    <t>기술료</t>
    <phoneticPr fontId="1" type="noConversion"/>
  </si>
  <si>
    <t>-</t>
    <phoneticPr fontId="1" type="noConversion"/>
  </si>
  <si>
    <t>10 kg급 고속·대면적 ALD 공정 기반 고전압 나트륨이온전지용 계면 안정화 기술 및 1Ah급 파우치셀 개발</t>
    <phoneticPr fontId="1" type="noConversion"/>
  </si>
  <si>
    <t>선입금</t>
    <phoneticPr fontId="1" type="noConversion"/>
  </si>
  <si>
    <t>일정</t>
    <phoneticPr fontId="1" type="noConversion"/>
  </si>
  <si>
    <t>5월13(수)</t>
    <phoneticPr fontId="1" type="noConversion"/>
  </si>
  <si>
    <t>1차 제출</t>
    <phoneticPr fontId="1" type="noConversion"/>
  </si>
  <si>
    <t>비고</t>
    <phoneticPr fontId="1" type="noConversion"/>
  </si>
  <si>
    <t>5월14(목)</t>
    <phoneticPr fontId="1" type="noConversion"/>
  </si>
  <si>
    <t>통합본 1차 검토</t>
    <phoneticPr fontId="1" type="noConversion"/>
  </si>
  <si>
    <t>5월15(금)</t>
    <phoneticPr fontId="1" type="noConversion"/>
  </si>
  <si>
    <t>통합본 2차 검토</t>
    <phoneticPr fontId="1" type="noConversion"/>
  </si>
  <si>
    <t>5월18(월)</t>
    <phoneticPr fontId="1" type="noConversion"/>
  </si>
  <si>
    <t>최종본 제출</t>
    <phoneticPr fontId="1" type="noConversion"/>
  </si>
  <si>
    <t>씨오알엔</t>
    <phoneticPr fontId="1" type="noConversion"/>
  </si>
  <si>
    <t>권라희</t>
    <phoneticPr fontId="1" type="noConversion"/>
  </si>
  <si>
    <t>010-2411-2370</t>
    <phoneticPr fontId="1" type="noConversion"/>
  </si>
  <si>
    <t>기계연</t>
    <phoneticPr fontId="1" type="noConversion"/>
  </si>
  <si>
    <t>010-7449-8552</t>
    <phoneticPr fontId="1" type="noConversion"/>
  </si>
  <si>
    <t>sm.lee@kimm.re.kr</t>
    <phoneticPr fontId="1" type="noConversion"/>
  </si>
  <si>
    <t>원은서</t>
    <phoneticPr fontId="1" type="noConversion"/>
  </si>
  <si>
    <t>010-9614-5506</t>
    <phoneticPr fontId="1" type="noConversion"/>
  </si>
  <si>
    <t>wes@everindus.com</t>
    <phoneticPr fontId="1" type="noConversion"/>
  </si>
  <si>
    <t>010-9936-4187</t>
    <phoneticPr fontId="1" type="noConversion"/>
  </si>
  <si>
    <t>rhgwon33@mycorn.co.kr</t>
    <phoneticPr fontId="1" type="noConversion"/>
  </si>
  <si>
    <t>gyumin.shim@dsv.co.kr</t>
    <phoneticPr fontId="1" type="noConversion"/>
  </si>
  <si>
    <t>이승모</t>
    <phoneticPr fontId="1" type="noConversion"/>
  </si>
  <si>
    <t>심규민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</si>
</sst>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9" fontId="0" fillId="6" borderId="1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D252-3958-4DD5-991D-5D5AF2346600}">
  <dimension ref="B1:O20"/>
  <sheetViews>
    <sheetView tabSelected="1" workbookViewId="0">
      <selection activeCell="I16" sqref="I16"/>
    </sheetView>
  </sheetViews>
  <sheetFormatPr defaultRowHeight="16.5" x14ac:dyDescent="0.3"/>
  <cols>
    <col min="2" max="2" width="13" bestFit="1" customWidth="1"/>
    <col min="10" max="10" width="14.375" bestFit="1" customWidth="1"/>
  </cols>
  <sheetData>
    <row r="1" spans="2:15" ht="17.25" thickBot="1" x14ac:dyDescent="0.35"/>
    <row r="2" spans="2:15" ht="27" thickBot="1" x14ac:dyDescent="0.35">
      <c r="B2" s="26" t="s">
        <v>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8"/>
    </row>
    <row r="3" spans="2:15" ht="17.25" thickBot="1" x14ac:dyDescent="0.35"/>
    <row r="4" spans="2:15" x14ac:dyDescent="0.3">
      <c r="B4" s="8" t="s">
        <v>3</v>
      </c>
      <c r="C4" s="6">
        <v>2026</v>
      </c>
      <c r="D4" s="4">
        <v>2027</v>
      </c>
      <c r="E4" s="17">
        <v>2028</v>
      </c>
      <c r="F4" s="10" t="s">
        <v>6</v>
      </c>
      <c r="G4" s="25" t="s">
        <v>7</v>
      </c>
    </row>
    <row r="5" spans="2:15" ht="17.25" thickBot="1" x14ac:dyDescent="0.35">
      <c r="B5" s="9" t="s">
        <v>4</v>
      </c>
      <c r="C5" s="7">
        <v>7.5</v>
      </c>
      <c r="D5" s="5">
        <v>15</v>
      </c>
      <c r="E5" s="18">
        <v>15</v>
      </c>
      <c r="F5" s="16">
        <f>SUM(C5:E5)</f>
        <v>37.5</v>
      </c>
      <c r="G5" s="44"/>
    </row>
    <row r="6" spans="2:15" x14ac:dyDescent="0.3">
      <c r="B6" s="10" t="s">
        <v>0</v>
      </c>
      <c r="C6" s="32">
        <v>1.2</v>
      </c>
      <c r="D6" s="33">
        <v>2.7</v>
      </c>
      <c r="E6" s="40">
        <v>2.5</v>
      </c>
      <c r="F6" s="46">
        <f>SUM(C6:E6)</f>
        <v>6.4</v>
      </c>
      <c r="G6" s="11" t="s">
        <v>8</v>
      </c>
    </row>
    <row r="7" spans="2:15" x14ac:dyDescent="0.3">
      <c r="B7" s="31" t="s">
        <v>24</v>
      </c>
      <c r="C7" s="34">
        <v>1</v>
      </c>
      <c r="D7" s="35">
        <v>2</v>
      </c>
      <c r="E7" s="41">
        <v>2</v>
      </c>
      <c r="F7" s="46">
        <f>SUM(C7:E7)</f>
        <v>5</v>
      </c>
      <c r="G7" s="11"/>
      <c r="I7" t="s">
        <v>33</v>
      </c>
      <c r="J7" s="48" t="s">
        <v>25</v>
      </c>
      <c r="K7" s="49" t="s">
        <v>26</v>
      </c>
    </row>
    <row r="8" spans="2:15" x14ac:dyDescent="0.3">
      <c r="B8" s="11" t="s">
        <v>1</v>
      </c>
      <c r="C8" s="36">
        <v>0.8</v>
      </c>
      <c r="D8" s="37">
        <v>1.8</v>
      </c>
      <c r="E8" s="42">
        <v>2</v>
      </c>
      <c r="F8" s="46">
        <f t="shared" ref="F8:F11" si="0">SUM(C8:E8)</f>
        <v>4.5999999999999996</v>
      </c>
      <c r="G8" s="47">
        <v>0.15</v>
      </c>
      <c r="I8" t="s">
        <v>27</v>
      </c>
      <c r="J8" s="48" t="s">
        <v>28</v>
      </c>
      <c r="K8" s="49" t="s">
        <v>29</v>
      </c>
    </row>
    <row r="9" spans="2:15" x14ac:dyDescent="0.3">
      <c r="B9" s="11" t="s">
        <v>2</v>
      </c>
      <c r="C9" s="36">
        <v>2.8</v>
      </c>
      <c r="D9" s="37">
        <v>4.5</v>
      </c>
      <c r="E9" s="42">
        <v>4.5</v>
      </c>
      <c r="F9" s="46">
        <f t="shared" si="0"/>
        <v>11.8</v>
      </c>
      <c r="G9" s="47">
        <v>0.33</v>
      </c>
      <c r="I9" s="49" t="s">
        <v>34</v>
      </c>
      <c r="J9" s="48" t="s">
        <v>30</v>
      </c>
      <c r="K9" s="49" t="s">
        <v>32</v>
      </c>
    </row>
    <row r="10" spans="2:15" ht="17.25" thickBot="1" x14ac:dyDescent="0.35">
      <c r="B10" s="12" t="s">
        <v>21</v>
      </c>
      <c r="C10" s="38">
        <v>1.7</v>
      </c>
      <c r="D10" s="39">
        <v>4</v>
      </c>
      <c r="E10" s="43">
        <v>4</v>
      </c>
      <c r="F10" s="46">
        <f t="shared" si="0"/>
        <v>9.6999999999999993</v>
      </c>
      <c r="G10" s="47">
        <v>0.28000000000000003</v>
      </c>
      <c r="I10" t="s">
        <v>22</v>
      </c>
      <c r="J10" s="48" t="s">
        <v>23</v>
      </c>
      <c r="K10" s="49" t="s">
        <v>31</v>
      </c>
    </row>
    <row r="11" spans="2:15" ht="17.25" thickBot="1" x14ac:dyDescent="0.35">
      <c r="B11" s="13" t="s">
        <v>5</v>
      </c>
      <c r="C11" s="14">
        <f>SUM(C6:C10)</f>
        <v>7.5</v>
      </c>
      <c r="D11" s="15">
        <f>SUM(D6:D10)</f>
        <v>15</v>
      </c>
      <c r="E11" s="45">
        <f>SUM(E6:E10)</f>
        <v>15</v>
      </c>
      <c r="F11" s="23">
        <f t="shared" si="0"/>
        <v>37.5</v>
      </c>
      <c r="G11" s="23">
        <f>SUM(G8:G10)</f>
        <v>0.76</v>
      </c>
    </row>
    <row r="13" spans="2:15" x14ac:dyDescent="0.3">
      <c r="B13" s="21" t="s">
        <v>7</v>
      </c>
      <c r="C13" s="20">
        <v>0.1</v>
      </c>
      <c r="D13" s="3">
        <v>3.75</v>
      </c>
    </row>
    <row r="14" spans="2:15" x14ac:dyDescent="0.3">
      <c r="B14" s="22" t="s">
        <v>10</v>
      </c>
      <c r="C14" s="20">
        <v>0.2</v>
      </c>
      <c r="D14" s="3">
        <f>D13*C14</f>
        <v>0.75</v>
      </c>
      <c r="E14" s="19"/>
    </row>
    <row r="15" spans="2:15" x14ac:dyDescent="0.3">
      <c r="B15" s="1"/>
      <c r="C15" s="1"/>
      <c r="E15" s="19"/>
    </row>
    <row r="16" spans="2:15" x14ac:dyDescent="0.3">
      <c r="B16" s="21" t="s">
        <v>11</v>
      </c>
      <c r="C16" s="29" t="s">
        <v>14</v>
      </c>
      <c r="D16" s="29"/>
    </row>
    <row r="17" spans="2:4" x14ac:dyDescent="0.3">
      <c r="B17" s="2" t="s">
        <v>12</v>
      </c>
      <c r="C17" s="24" t="s">
        <v>13</v>
      </c>
      <c r="D17" s="24"/>
    </row>
    <row r="18" spans="2:4" x14ac:dyDescent="0.3">
      <c r="B18" s="2" t="s">
        <v>15</v>
      </c>
      <c r="C18" s="30" t="s">
        <v>16</v>
      </c>
      <c r="D18" s="30"/>
    </row>
    <row r="19" spans="2:4" x14ac:dyDescent="0.3">
      <c r="B19" s="2" t="s">
        <v>17</v>
      </c>
      <c r="C19" s="24" t="s">
        <v>18</v>
      </c>
      <c r="D19" s="24"/>
    </row>
    <row r="20" spans="2:4" x14ac:dyDescent="0.3">
      <c r="B20" s="2" t="s">
        <v>19</v>
      </c>
      <c r="C20" s="24" t="s">
        <v>20</v>
      </c>
      <c r="D20" s="24"/>
    </row>
  </sheetData>
  <mergeCells count="7">
    <mergeCell ref="C20:D20"/>
    <mergeCell ref="G4:G5"/>
    <mergeCell ref="B2:O2"/>
    <mergeCell ref="C16:D16"/>
    <mergeCell ref="C17:D17"/>
    <mergeCell ref="C18:D18"/>
    <mergeCell ref="C19:D19"/>
  </mergeCells>
  <phoneticPr fontId="1" type="noConversion"/>
  <pageMargins left="0.7" right="0.7" top="0.75" bottom="0.75" header="0.3" footer="0.3"/>
  <pageSetup paperSize="9" orientation="portrait" horizontalDpi="4294967293" verticalDpi="0" r:id="rId1"/>
  <ignoredErrors>
    <ignoredError sqref="C11:E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posga</dc:creator>
  <cp:lastModifiedBy>posga</cp:lastModifiedBy>
  <dcterms:created xsi:type="dcterms:W3CDTF">2026-05-07T23:06:17Z</dcterms:created>
  <dcterms:modified xsi:type="dcterms:W3CDTF">2026-05-08T00:43:45Z</dcterms:modified>
</cp:coreProperties>
</file>